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oratorio 2" sheetId="1" r:id="rId4"/>
  </sheets>
  <definedNames/>
  <calcPr/>
  <extLst>
    <ext uri="GoogleSheetsCustomDataVersion2">
      <go:sheetsCustomData xmlns:go="http://customooxmlschemas.google.com/" r:id="rId5" roundtripDataChecksum="CZa8DsK/b5J3ZUn2zIit1Ftdhyzx35pSxIBJbOzzM3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ID#AAABuxx5-tM
    (2025-12-10 14:10:53)
Nombre de los archivos principales son como se solicitan. Junto con los nombres al momento de escribir en la linea de comando.</t>
      </text>
    </comment>
    <comment authorId="0" ref="K4">
      <text>
        <t xml:space="preserve">======
ID#AAABuxx5-tI
    (2025-12-10 14:10:53)
Emplear algún miembro de la familia exec(), con el fin de que los procesos hijos ejecuten el script que le corresponde. Es decir, si por ejemplo, fueron llamados los dos promeros scripts del pipeline, el hijo 1 usará exec() para ejecutar el scrip de generator, luego el hijo 2 realizará lo mismo pero con el preprocess.</t>
      </text>
    </comment>
    <comment authorId="0" ref="O4">
      <text>
        <t xml:space="preserve">======
ID#AAABuxx5-s8
    (2025-12-10 14:10:53)
Se harán descuentos por días de atraso, problemas en el formato de entrega del laboratorio (ya sea el nombre del archivo, ejecutables tipo exe, etc) y por existencia de archivos compilados/ejecutables dentro de la entrega.</t>
      </text>
    </comment>
    <comment authorId="0" ref="L4">
      <text>
        <t xml:space="preserve">======
ID#AAABuxx5-sk
    (2025-12-10 14:10:53)
Emplea la función fork() para crear procesos. Los cuales deben ser acordes a la cantidad de scripts que son llamados por linea de comando.
Por ejemplo, si solo se llama al script generator.sh, se debe crear al proceso Padre para que este cree al proceso hijo que ejecutara el script.</t>
      </text>
    </comment>
    <comment authorId="0" ref="I4">
      <text>
        <t xml:space="preserve">======
ID#AAABuxx5-r4
    (2025-12-10 14:10:53)
Emplear pipes() para la comunicación entre los procesos. 
Para que también, los procesos envién la información al proceso correspondiente. Siempre manteniendo la lógica del pipeline.</t>
      </text>
    </comment>
    <comment authorId="0" ref="F4">
      <text>
        <t xml:space="preserve">======
ID#AAABuxx5-r0
    (2025-12-10 14:10:53)
Compila y no presenta warnings ni errores.
El archivo makefile contiene lo necesario para el funcionamiento, no contiene instrucciones innecesarias.</t>
      </text>
    </comment>
    <comment authorId="0" ref="M4">
      <text>
        <t xml:space="preserve">======
ID#AAABuxx5-ro
    (2025-12-10 14:10:53)
El resultado final se encuentra condicionado al proceso hijo que ejecute al script report.sh.
El script debe ser capaz de recibir la información generada por aggregate.sh.
Debe generar el archivo .CSV con la información procesada a través de todo el pipeline. Además, debe añadir los metadatos solicitados por enunciado, los que servirán de prueba para validación de su entrega.
En otras palabras, la nota del resultado final refiere a la implementación completa del pipeline, es decir, el conjunto completo de archivos trabajados.</t>
      </text>
    </comment>
    <comment authorId="0" ref="C4">
      <text>
        <t xml:space="preserve">======
ID#AAABuxx5-rg
    (2025-12-10 14:10:53)
Sigue el formato de comentarios especificado en el laboratorio.
También debe incluir comentarios para mejor comprensión de su código.</t>
      </text>
    </comment>
    <comment authorId="0" ref="D4">
      <text>
        <t xml:space="preserve">======
ID#AAABuxx5-q8
    (2025-12-10 14:10:53)
Se evalúa cómo se encuentra estructurado y organizado el código, separando funciones, variables, estructuras; con el fin de facilitar la lectura y posterior comprensión. 
Finalmente, que cada scrip contenga las instrucciones relacionadas a su propia funcionalidad.</t>
      </text>
    </comment>
    <comment authorId="0" ref="G4">
      <text>
        <t xml:space="preserve">======
ID#AAABuxx5-qE
    (2025-12-10 14:10:53)
Se validan los parámetros ingresados por línea de comandos, por ejemplo el ingreso de números negativos. Dicho de otra forma, el programa (ahora en lenguaje C) no presenta problemas de ejecución al ingresar formatos que no son el correcto o que finalice con números que no tienen sentido, en otras palabras, su programa es robusto.</t>
      </text>
    </comment>
    <comment authorId="0" ref="P4">
      <text>
        <t xml:space="preserve">======
ID#AAABuxx5-p4
    (2025-12-10 14:10:53)
Corresponde a la presentación del código por parte de los integrantes del grupo (ambos deben estar presentes).
Por la presentación se obtendra una nota, la cual se promediará con la nota de la revisión.</t>
      </text>
    </comment>
    <comment authorId="0" ref="J4">
      <text>
        <t xml:space="preserve">======
ID#AAABuxx5-pw
    (2025-12-10 14:10:53)
Se respeta el orden original del pipeline. Es decir, no se debe por intercambiar el orden en el que trabajan los scripts.</t>
      </text>
    </comment>
    <comment authorId="0" ref="H4">
      <text>
        <t xml:space="preserve">======
ID#AAABuxx5-po
    (2025-12-10 14:10:53)
Emplear dup() o dup2(), para dirigir la comunicación entre los procesos.</t>
      </text>
    </comment>
  </commentList>
  <extLst>
    <ext uri="GoogleSheetsCustomDataVersion2">
      <go:sheetsCustomData xmlns:go="http://customooxmlschemas.google.com/" r:id="rId1" roundtripDataSignature="AMtx7mhhzItN18qkXglykAivZN66/TrRQA=="/>
    </ext>
  </extLst>
</comments>
</file>

<file path=xl/sharedStrings.xml><?xml version="1.0" encoding="utf-8"?>
<sst xmlns="http://schemas.openxmlformats.org/spreadsheetml/2006/main" count="78" uniqueCount="76">
  <si>
    <t>Ayudante: Daniel Calderón:</t>
  </si>
  <si>
    <t xml:space="preserve">Ayudante: Ricardo Hasbun: </t>
  </si>
  <si>
    <t>Robustes del programa 10%</t>
  </si>
  <si>
    <t>Comunicación entre procesos y flujo 60 %</t>
  </si>
  <si>
    <t>Creación de procesos 11%</t>
  </si>
  <si>
    <t>Resultado final 10%</t>
  </si>
  <si>
    <t>70% de la nota final</t>
  </si>
  <si>
    <t>30% de la nota final</t>
  </si>
  <si>
    <t xml:space="preserve">Rut 1 </t>
  </si>
  <si>
    <t>Rut 2</t>
  </si>
  <si>
    <t>Comentarios</t>
  </si>
  <si>
    <t>Organización código</t>
  </si>
  <si>
    <t>Formato entrada</t>
  </si>
  <si>
    <t>Makefile</t>
  </si>
  <si>
    <t>Validación de parámetros</t>
  </si>
  <si>
    <t>Dup2()</t>
  </si>
  <si>
    <t>pipe()</t>
  </si>
  <si>
    <t>Flujo del Pipeline</t>
  </si>
  <si>
    <t>excec()</t>
  </si>
  <si>
    <t>Fork()</t>
  </si>
  <si>
    <t>Nota</t>
  </si>
  <si>
    <t>Descuentos</t>
  </si>
  <si>
    <t xml:space="preserve">Presentación </t>
  </si>
  <si>
    <t>Nota Final</t>
  </si>
  <si>
    <t>EJEMPLO</t>
  </si>
  <si>
    <t>21.452.532-1</t>
  </si>
  <si>
    <t>21.625.072-9</t>
  </si>
  <si>
    <t>21.556.446-0</t>
  </si>
  <si>
    <t>21.317.055-4</t>
  </si>
  <si>
    <t>19.671.860-5</t>
  </si>
  <si>
    <t>20.784.579-5</t>
  </si>
  <si>
    <t>21.067.876-k</t>
  </si>
  <si>
    <t>24.637.967-k</t>
  </si>
  <si>
    <t>20.980.316-k</t>
  </si>
  <si>
    <t>21.336.953-9</t>
  </si>
  <si>
    <t>25.830.427-6</t>
  </si>
  <si>
    <t>22.741.318-2</t>
  </si>
  <si>
    <t>20.937.112-k</t>
  </si>
  <si>
    <t>21.475.657-9</t>
  </si>
  <si>
    <t>21.451.730-2</t>
  </si>
  <si>
    <t>21.288.793-5</t>
  </si>
  <si>
    <t>21.343.296-6</t>
  </si>
  <si>
    <t>21.484373-0</t>
  </si>
  <si>
    <t>21.161.139-1</t>
  </si>
  <si>
    <t>21.249.591-3</t>
  </si>
  <si>
    <t>20.636.734-2</t>
  </si>
  <si>
    <t>21.055.282-0</t>
  </si>
  <si>
    <t>----------</t>
  </si>
  <si>
    <t>20.186.261-2</t>
  </si>
  <si>
    <t>21491259-7</t>
  </si>
  <si>
    <t>21314967-9</t>
  </si>
  <si>
    <t>20560582-7</t>
  </si>
  <si>
    <t>21154079-6</t>
  </si>
  <si>
    <t>21464427-4</t>
  </si>
  <si>
    <t>20994246-1</t>
  </si>
  <si>
    <t>21548078-k</t>
  </si>
  <si>
    <t>21722706-2</t>
  </si>
  <si>
    <t>21361620-k</t>
  </si>
  <si>
    <t>21602113-4</t>
  </si>
  <si>
    <t>21575622-k</t>
  </si>
  <si>
    <t>21714321-7</t>
  </si>
  <si>
    <t>21781369-7</t>
  </si>
  <si>
    <t>21329678-7</t>
  </si>
  <si>
    <t>20815216-5</t>
  </si>
  <si>
    <t>21081693-3</t>
  </si>
  <si>
    <t>20810852-2</t>
  </si>
  <si>
    <t>21065906-4</t>
  </si>
  <si>
    <t>20807901-8</t>
  </si>
  <si>
    <t>20782358-9</t>
  </si>
  <si>
    <t>20553215-3</t>
  </si>
  <si>
    <t>21082148-1</t>
  </si>
  <si>
    <t>18031181-5</t>
  </si>
  <si>
    <t>20191654-2</t>
  </si>
  <si>
    <t>19746378-3</t>
  </si>
  <si>
    <t>21784523-8</t>
  </si>
  <si>
    <t>21510113-4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</si>
</sst>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quot;.&quot;###\-#\ "/>
    <numFmt numFmtId="165" formatCode="0.0"/>
  </numFmts>
  <fonts count="5">
    <font>
      <sz val="10.0"/>
      <color rgb="FF000000"/>
      <name val="Arial"/>
      <scheme val="minor"/>
    </font>
    <font>
      <color theme="1"/>
      <name val="Arial"/>
    </font>
    <font/>
    <font>
      <color rgb="FF000000"/>
      <name val="Arial"/>
    </font>
    <font>
      <b/>
      <color theme="1"/>
      <name val="Arial"/>
    </font>
  </fonts>
  <fills count="14">
    <fill>
      <patternFill patternType="none"/>
    </fill>
    <fill>
      <patternFill patternType="lightGray"/>
    </fill>
    <fill>
      <patternFill patternType="solid">
        <fgColor rgb="FFFF9900"/>
        <bgColor rgb="FFFF9900"/>
      </patternFill>
    </fill>
    <fill>
      <patternFill patternType="solid">
        <fgColor rgb="FFC27BA0"/>
        <bgColor rgb="FFC27BA0"/>
      </patternFill>
    </fill>
    <fill>
      <patternFill patternType="solid">
        <fgColor rgb="FFEAD1DC"/>
        <bgColor rgb="FFEAD1DC"/>
      </patternFill>
    </fill>
    <fill>
      <patternFill patternType="solid">
        <fgColor rgb="FFFFF2CC"/>
        <bgColor rgb="FFFFF2CC"/>
      </patternFill>
    </fill>
    <fill>
      <patternFill patternType="solid">
        <fgColor rgb="FFF1C232"/>
        <bgColor rgb="FFF1C232"/>
      </patternFill>
    </fill>
    <fill>
      <patternFill patternType="solid">
        <fgColor rgb="FFF6B26B"/>
        <bgColor rgb="FFF6B26B"/>
      </patternFill>
    </fill>
    <fill>
      <patternFill patternType="solid">
        <fgColor rgb="FFFF00FF"/>
        <bgColor rgb="FFFF00FF"/>
      </patternFill>
    </fill>
    <fill>
      <patternFill patternType="solid">
        <fgColor rgb="FF6D9EEB"/>
        <bgColor rgb="FF6D9EEB"/>
      </patternFill>
    </fill>
    <fill>
      <patternFill patternType="solid">
        <fgColor rgb="FF9FC5E8"/>
        <bgColor rgb="FF9FC5E8"/>
      </patternFill>
    </fill>
    <fill>
      <patternFill patternType="solid">
        <fgColor rgb="FF00FF00"/>
        <bgColor rgb="FF00FF00"/>
      </patternFill>
    </fill>
    <fill>
      <patternFill patternType="solid">
        <fgColor rgb="FFFFFF00"/>
        <bgColor rgb="FFFFFF00"/>
      </patternFill>
    </fill>
    <fill>
      <patternFill patternType="solid">
        <fgColor rgb="FFFFE599"/>
        <bgColor rgb="FFFFE599"/>
      </patternFill>
    </fill>
  </fills>
  <borders count="1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vertical="bottom"/>
    </xf>
    <xf borderId="2" fillId="0" fontId="2" numFmtId="0" xfId="0" applyBorder="1" applyFont="1"/>
    <xf borderId="3" fillId="3" fontId="1" numFmtId="164" xfId="0" applyAlignment="1" applyBorder="1" applyFill="1" applyFont="1" applyNumberFormat="1">
      <alignment horizontal="center" readingOrder="0" vertical="bottom"/>
    </xf>
    <xf borderId="4" fillId="0" fontId="2" numFmtId="0" xfId="0" applyBorder="1" applyFont="1"/>
    <xf borderId="0" fillId="0" fontId="1" numFmtId="9" xfId="0" applyFont="1" applyNumberFormat="1"/>
    <xf borderId="5" fillId="3" fontId="1" numFmtId="0" xfId="0" applyAlignment="1" applyBorder="1" applyFont="1">
      <alignment vertical="bottom"/>
    </xf>
    <xf borderId="5" fillId="4" fontId="1" numFmtId="9" xfId="0" applyAlignment="1" applyBorder="1" applyFill="1" applyFont="1" applyNumberFormat="1">
      <alignment horizontal="center" vertical="bottom"/>
    </xf>
    <xf borderId="1" fillId="5" fontId="1" numFmtId="0" xfId="0" applyAlignment="1" applyBorder="1" applyFill="1" applyFont="1">
      <alignment horizontal="center" vertical="bottom"/>
    </xf>
    <xf borderId="1" fillId="6" fontId="1" numFmtId="0" xfId="0" applyAlignment="1" applyBorder="1" applyFill="1" applyFont="1">
      <alignment horizontal="center" vertical="bottom"/>
    </xf>
    <xf borderId="6" fillId="0" fontId="2" numFmtId="0" xfId="0" applyBorder="1" applyFont="1"/>
    <xf borderId="1" fillId="7" fontId="1" numFmtId="0" xfId="0" applyAlignment="1" applyBorder="1" applyFill="1" applyFont="1">
      <alignment horizontal="center" vertical="bottom"/>
    </xf>
    <xf borderId="5" fillId="8" fontId="1" numFmtId="0" xfId="0" applyAlignment="1" applyBorder="1" applyFill="1" applyFont="1">
      <alignment horizontal="center" vertical="bottom"/>
    </xf>
    <xf borderId="5" fillId="9" fontId="1" numFmtId="0" xfId="0" applyAlignment="1" applyBorder="1" applyFill="1" applyFont="1">
      <alignment horizontal="center" vertical="bottom"/>
    </xf>
    <xf borderId="5" fillId="10" fontId="1" numFmtId="0" xfId="0" applyAlignment="1" applyBorder="1" applyFill="1" applyFont="1">
      <alignment vertical="bottom"/>
    </xf>
    <xf borderId="5" fillId="10" fontId="1" numFmtId="0" xfId="0" applyAlignment="1" applyBorder="1" applyFont="1">
      <alignment horizontal="center" vertical="bottom"/>
    </xf>
    <xf borderId="5" fillId="9" fontId="1" numFmtId="0" xfId="0" applyAlignment="1" applyBorder="1" applyFont="1">
      <alignment vertical="bottom"/>
    </xf>
    <xf borderId="7" fillId="11" fontId="1" numFmtId="0" xfId="0" applyAlignment="1" applyBorder="1" applyFill="1" applyFont="1">
      <alignment vertical="bottom"/>
    </xf>
    <xf borderId="8" fillId="11" fontId="1" numFmtId="0" xfId="0" applyAlignment="1" applyBorder="1" applyFont="1">
      <alignment vertical="bottom"/>
    </xf>
    <xf borderId="2" fillId="4" fontId="1" numFmtId="0" xfId="0" applyAlignment="1" applyBorder="1" applyFont="1">
      <alignment horizontal="center" vertical="bottom"/>
    </xf>
    <xf borderId="2" fillId="5" fontId="1" numFmtId="0" xfId="0" applyAlignment="1" applyBorder="1" applyFont="1">
      <alignment horizontal="center" vertical="bottom"/>
    </xf>
    <xf borderId="5" fillId="6" fontId="3" numFmtId="0" xfId="0" applyAlignment="1" applyBorder="1" applyFont="1">
      <alignment horizontal="center" shrinkToFit="0" vertical="bottom" wrapText="1"/>
    </xf>
    <xf borderId="5" fillId="6" fontId="1" numFmtId="0" xfId="0" applyAlignment="1" applyBorder="1" applyFont="1">
      <alignment horizontal="center" shrinkToFit="0" vertical="bottom" wrapText="1"/>
    </xf>
    <xf borderId="5" fillId="7" fontId="1" numFmtId="0" xfId="0" applyAlignment="1" applyBorder="1" applyFont="1">
      <alignment horizontal="center" shrinkToFit="0" vertical="bottom" wrapText="1"/>
    </xf>
    <xf borderId="5" fillId="7" fontId="3" numFmtId="0" xfId="0" applyAlignment="1" applyBorder="1" applyFont="1">
      <alignment horizontal="center" shrinkToFit="0" vertical="bottom" wrapText="1"/>
    </xf>
    <xf borderId="2" fillId="8" fontId="1" numFmtId="0" xfId="0" applyAlignment="1" applyBorder="1" applyFont="1">
      <alignment vertical="bottom"/>
    </xf>
    <xf borderId="2" fillId="9" fontId="1" numFmtId="0" xfId="0" applyAlignment="1" applyBorder="1" applyFont="1">
      <alignment vertical="bottom"/>
    </xf>
    <xf borderId="2" fillId="10" fontId="1" numFmtId="0" xfId="0" applyAlignment="1" applyBorder="1" applyFont="1">
      <alignment vertical="bottom"/>
    </xf>
    <xf borderId="9" fillId="12" fontId="4" numFmtId="0" xfId="0" applyAlignment="1" applyBorder="1" applyFill="1" applyFont="1">
      <alignment horizontal="center" vertical="bottom"/>
    </xf>
    <xf borderId="10" fillId="0" fontId="2" numFmtId="0" xfId="0" applyBorder="1" applyFont="1"/>
    <xf borderId="5" fillId="4" fontId="1" numFmtId="0" xfId="0" applyAlignment="1" applyBorder="1" applyFont="1">
      <alignment horizontal="right" vertical="bottom"/>
    </xf>
    <xf borderId="5" fillId="13" fontId="1" numFmtId="0" xfId="0" applyAlignment="1" applyBorder="1" applyFill="1" applyFont="1">
      <alignment horizontal="right" vertical="bottom"/>
    </xf>
    <xf borderId="5" fillId="6" fontId="1" numFmtId="0" xfId="0" applyAlignment="1" applyBorder="1" applyFont="1">
      <alignment horizontal="right" vertical="bottom"/>
    </xf>
    <xf borderId="5" fillId="7" fontId="1" numFmtId="0" xfId="0" applyAlignment="1" applyBorder="1" applyFont="1">
      <alignment horizontal="right" vertical="bottom"/>
    </xf>
    <xf borderId="5" fillId="8" fontId="1" numFmtId="0" xfId="0" applyAlignment="1" applyBorder="1" applyFont="1">
      <alignment horizontal="right" vertical="bottom"/>
    </xf>
    <xf borderId="5" fillId="9" fontId="1" numFmtId="0" xfId="0" applyAlignment="1" applyBorder="1" applyFont="1">
      <alignment horizontal="right" vertical="bottom"/>
    </xf>
    <xf borderId="5" fillId="9" fontId="1" numFmtId="165" xfId="0" applyAlignment="1" applyBorder="1" applyFont="1" applyNumberFormat="1">
      <alignment horizontal="right" vertical="bottom"/>
    </xf>
    <xf borderId="11" fillId="3" fontId="1" numFmtId="164" xfId="0" applyAlignment="1" applyBorder="1" applyFont="1" applyNumberFormat="1">
      <alignment horizontal="center" vertical="bottom"/>
    </xf>
    <xf borderId="12" fillId="3" fontId="1" numFmtId="164" xfId="0" applyAlignment="1" applyBorder="1" applyFont="1" applyNumberFormat="1">
      <alignment horizontal="center" vertical="bottom"/>
    </xf>
    <xf borderId="5" fillId="3" fontId="1" numFmtId="164" xfId="0" applyAlignment="1" applyBorder="1" applyFont="1" applyNumberFormat="1">
      <alignment horizontal="center" vertical="bottom"/>
    </xf>
    <xf borderId="5" fillId="2" fontId="1" numFmtId="164" xfId="0" applyAlignment="1" applyBorder="1" applyFont="1" applyNumberFormat="1">
      <alignment horizontal="center" vertical="bottom"/>
    </xf>
    <xf borderId="2" fillId="2" fontId="1" numFmtId="164" xfId="0" applyAlignment="1" applyBorder="1" applyFont="1" applyNumberFormat="1">
      <alignment horizontal="center" vertical="bottom"/>
    </xf>
    <xf borderId="13" fillId="2" fontId="1" numFmtId="164" xfId="0" applyAlignment="1" applyBorder="1" applyFont="1" applyNumberFormat="1">
      <alignment horizontal="center" vertical="bottom"/>
    </xf>
    <xf borderId="4" fillId="2" fontId="1" numFmtId="164" xfId="0" applyAlignment="1" applyBorder="1" applyFont="1" applyNumberForma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19.75"/>
    <col customWidth="1" min="3" max="3" width="14.75"/>
    <col customWidth="1" min="4" max="4" width="17.63"/>
    <col customWidth="1" min="5" max="5" width="16.13"/>
    <col customWidth="1" min="6" max="6" width="14.63"/>
    <col customWidth="1" min="7" max="7" width="24.13"/>
    <col customWidth="1" min="8" max="8" width="28.63"/>
    <col customWidth="1" min="9" max="9" width="30.0"/>
    <col customWidth="1" min="10" max="12" width="27.25"/>
    <col customWidth="1" min="13" max="13" width="18.88"/>
    <col customWidth="1" min="14" max="14" width="15.25"/>
    <col customWidth="1" min="16" max="16" width="20.63"/>
  </cols>
  <sheetData>
    <row r="1" ht="15.75" customHeight="1">
      <c r="A1" s="1" t="s">
        <v>0</v>
      </c>
      <c r="B1" s="2"/>
    </row>
    <row r="2" ht="15.0" customHeight="1">
      <c r="A2" s="3" t="s">
        <v>1</v>
      </c>
      <c r="B2" s="4"/>
      <c r="I2" s="5"/>
    </row>
    <row r="3" ht="15.75" customHeight="1">
      <c r="A3" s="6"/>
      <c r="B3" s="6"/>
      <c r="C3" s="7">
        <v>0.03</v>
      </c>
      <c r="D3" s="7">
        <v>0.03</v>
      </c>
      <c r="E3" s="7">
        <v>0.03</v>
      </c>
      <c r="F3" s="8" t="s">
        <v>2</v>
      </c>
      <c r="G3" s="2"/>
      <c r="H3" s="9" t="s">
        <v>3</v>
      </c>
      <c r="I3" s="10"/>
      <c r="J3" s="2"/>
      <c r="K3" s="11" t="s">
        <v>4</v>
      </c>
      <c r="L3" s="2"/>
      <c r="M3" s="12" t="s">
        <v>5</v>
      </c>
      <c r="N3" s="13" t="s">
        <v>6</v>
      </c>
      <c r="O3" s="14"/>
      <c r="P3" s="15" t="s">
        <v>7</v>
      </c>
      <c r="Q3" s="16"/>
    </row>
    <row r="4" ht="15.75" customHeight="1">
      <c r="A4" s="17" t="s">
        <v>8</v>
      </c>
      <c r="B4" s="18" t="s">
        <v>9</v>
      </c>
      <c r="C4" s="19" t="s">
        <v>10</v>
      </c>
      <c r="D4" s="19" t="s">
        <v>11</v>
      </c>
      <c r="E4" s="19" t="s">
        <v>12</v>
      </c>
      <c r="F4" s="20" t="s">
        <v>13</v>
      </c>
      <c r="G4" s="20" t="s">
        <v>14</v>
      </c>
      <c r="H4" s="21" t="s">
        <v>15</v>
      </c>
      <c r="I4" s="22" t="s">
        <v>16</v>
      </c>
      <c r="J4" s="22" t="s">
        <v>17</v>
      </c>
      <c r="K4" s="23" t="s">
        <v>18</v>
      </c>
      <c r="L4" s="24" t="s">
        <v>19</v>
      </c>
      <c r="M4" s="25" t="s">
        <v>5</v>
      </c>
      <c r="N4" s="26" t="s">
        <v>20</v>
      </c>
      <c r="O4" s="27" t="s">
        <v>21</v>
      </c>
      <c r="P4" s="27" t="s">
        <v>22</v>
      </c>
      <c r="Q4" s="26" t="s">
        <v>23</v>
      </c>
    </row>
    <row r="5" ht="15.75" customHeight="1">
      <c r="A5" s="28" t="s">
        <v>24</v>
      </c>
      <c r="B5" s="29"/>
      <c r="C5" s="30">
        <v>7.0</v>
      </c>
      <c r="D5" s="30">
        <v>7.0</v>
      </c>
      <c r="E5" s="30">
        <v>7.0</v>
      </c>
      <c r="F5" s="31">
        <v>7.0</v>
      </c>
      <c r="G5" s="31">
        <v>7.0</v>
      </c>
      <c r="H5" s="32">
        <v>7.0</v>
      </c>
      <c r="I5" s="32">
        <v>7.0</v>
      </c>
      <c r="J5" s="32">
        <v>7.0</v>
      </c>
      <c r="K5" s="33">
        <v>7.0</v>
      </c>
      <c r="L5" s="33">
        <v>7.0</v>
      </c>
      <c r="M5" s="34">
        <v>7.0</v>
      </c>
      <c r="N5" s="35">
        <f t="shared" ref="N5:N32" si="1">ROUND(MIN(C5*0.03+D5*0.03+E5*0.03+SUM(F5:G5)/2*0.1+SUM(H5:J5)/3*0.6+SUM(K5:L5)/2*0.11+M5*0.1,7),1)</f>
        <v>7</v>
      </c>
      <c r="O5" s="14"/>
      <c r="P5" s="14">
        <v>7.0</v>
      </c>
      <c r="Q5" s="36">
        <f t="shared" ref="Q5:Q32" si="2">ROUND(MIN(((N5*0.7)+(0.3*P5))-O5),0)</f>
        <v>7</v>
      </c>
    </row>
    <row r="6" ht="15.75" customHeight="1">
      <c r="A6" s="37" t="s">
        <v>25</v>
      </c>
      <c r="B6" s="38" t="s">
        <v>26</v>
      </c>
      <c r="C6" s="30">
        <v>1.0</v>
      </c>
      <c r="D6" s="30">
        <v>1.0</v>
      </c>
      <c r="E6" s="30">
        <v>1.0</v>
      </c>
      <c r="F6" s="31">
        <v>1.0</v>
      </c>
      <c r="G6" s="31">
        <v>1.0</v>
      </c>
      <c r="H6" s="32">
        <v>1.0</v>
      </c>
      <c r="I6" s="32">
        <v>1.0</v>
      </c>
      <c r="J6" s="32">
        <v>1.0</v>
      </c>
      <c r="K6" s="33">
        <v>1.0</v>
      </c>
      <c r="L6" s="33">
        <v>1.0</v>
      </c>
      <c r="M6" s="34">
        <v>1.0</v>
      </c>
      <c r="N6" s="35">
        <f t="shared" si="1"/>
        <v>1</v>
      </c>
      <c r="O6" s="14"/>
      <c r="P6" s="14">
        <v>1.0</v>
      </c>
      <c r="Q6" s="36">
        <f t="shared" si="2"/>
        <v>1</v>
      </c>
    </row>
    <row r="7" ht="15.75" customHeight="1">
      <c r="A7" s="37" t="s">
        <v>27</v>
      </c>
      <c r="B7" s="38" t="s">
        <v>28</v>
      </c>
      <c r="C7" s="30">
        <v>1.0</v>
      </c>
      <c r="D7" s="30">
        <v>1.0</v>
      </c>
      <c r="E7" s="30">
        <v>1.0</v>
      </c>
      <c r="F7" s="31">
        <v>1.0</v>
      </c>
      <c r="G7" s="31">
        <v>1.0</v>
      </c>
      <c r="H7" s="32">
        <v>1.0</v>
      </c>
      <c r="I7" s="32">
        <v>1.0</v>
      </c>
      <c r="J7" s="32">
        <v>1.0</v>
      </c>
      <c r="K7" s="33">
        <v>1.0</v>
      </c>
      <c r="L7" s="33">
        <v>1.0</v>
      </c>
      <c r="M7" s="34">
        <v>1.0</v>
      </c>
      <c r="N7" s="35">
        <f t="shared" si="1"/>
        <v>1</v>
      </c>
      <c r="O7" s="14"/>
      <c r="P7" s="14">
        <v>1.0</v>
      </c>
      <c r="Q7" s="36">
        <f t="shared" si="2"/>
        <v>1</v>
      </c>
    </row>
    <row r="8" ht="15.75" customHeight="1">
      <c r="A8" s="37" t="s">
        <v>29</v>
      </c>
      <c r="B8" s="38"/>
      <c r="C8" s="30">
        <v>1.0</v>
      </c>
      <c r="D8" s="30">
        <v>1.0</v>
      </c>
      <c r="E8" s="30">
        <v>1.0</v>
      </c>
      <c r="F8" s="31">
        <v>1.0</v>
      </c>
      <c r="G8" s="31">
        <v>1.0</v>
      </c>
      <c r="H8" s="32">
        <v>1.0</v>
      </c>
      <c r="I8" s="32">
        <v>1.0</v>
      </c>
      <c r="J8" s="32">
        <v>1.0</v>
      </c>
      <c r="K8" s="33">
        <v>1.0</v>
      </c>
      <c r="L8" s="33">
        <v>1.0</v>
      </c>
      <c r="M8" s="34">
        <v>1.0</v>
      </c>
      <c r="N8" s="35">
        <f t="shared" si="1"/>
        <v>1</v>
      </c>
      <c r="O8" s="14"/>
      <c r="P8" s="14">
        <v>1.0</v>
      </c>
      <c r="Q8" s="36">
        <f t="shared" si="2"/>
        <v>1</v>
      </c>
    </row>
    <row r="9" ht="15.75" customHeight="1">
      <c r="A9" s="37" t="s">
        <v>30</v>
      </c>
      <c r="B9" s="38" t="s">
        <v>31</v>
      </c>
      <c r="C9" s="30">
        <v>1.0</v>
      </c>
      <c r="D9" s="30">
        <v>1.0</v>
      </c>
      <c r="E9" s="30">
        <v>1.0</v>
      </c>
      <c r="F9" s="31">
        <v>1.0</v>
      </c>
      <c r="G9" s="31">
        <v>1.0</v>
      </c>
      <c r="H9" s="32">
        <v>1.0</v>
      </c>
      <c r="I9" s="32">
        <v>1.0</v>
      </c>
      <c r="J9" s="32">
        <v>1.0</v>
      </c>
      <c r="K9" s="33">
        <v>1.0</v>
      </c>
      <c r="L9" s="33">
        <v>1.0</v>
      </c>
      <c r="M9" s="34">
        <v>1.0</v>
      </c>
      <c r="N9" s="35">
        <f t="shared" si="1"/>
        <v>1</v>
      </c>
      <c r="O9" s="14"/>
      <c r="P9" s="14">
        <v>1.0</v>
      </c>
      <c r="Q9" s="36">
        <f t="shared" si="2"/>
        <v>1</v>
      </c>
    </row>
    <row r="10" ht="15.75" customHeight="1">
      <c r="A10" s="37" t="s">
        <v>32</v>
      </c>
      <c r="B10" s="38" t="s">
        <v>33</v>
      </c>
      <c r="C10" s="30">
        <v>1.0</v>
      </c>
      <c r="D10" s="30">
        <v>1.0</v>
      </c>
      <c r="E10" s="30">
        <v>1.0</v>
      </c>
      <c r="F10" s="31">
        <v>1.0</v>
      </c>
      <c r="G10" s="31">
        <v>1.0</v>
      </c>
      <c r="H10" s="32">
        <v>1.0</v>
      </c>
      <c r="I10" s="32">
        <v>1.0</v>
      </c>
      <c r="J10" s="32">
        <v>1.0</v>
      </c>
      <c r="K10" s="33">
        <v>1.0</v>
      </c>
      <c r="L10" s="33">
        <v>1.0</v>
      </c>
      <c r="M10" s="34">
        <v>1.0</v>
      </c>
      <c r="N10" s="35">
        <f t="shared" si="1"/>
        <v>1</v>
      </c>
      <c r="O10" s="14"/>
      <c r="P10" s="14">
        <v>1.0</v>
      </c>
      <c r="Q10" s="36">
        <f t="shared" si="2"/>
        <v>1</v>
      </c>
    </row>
    <row r="11" ht="15.75" customHeight="1">
      <c r="A11" s="37" t="s">
        <v>34</v>
      </c>
      <c r="B11" s="38" t="s">
        <v>35</v>
      </c>
      <c r="C11" s="30">
        <v>1.0</v>
      </c>
      <c r="D11" s="30">
        <v>1.0</v>
      </c>
      <c r="E11" s="30">
        <v>1.0</v>
      </c>
      <c r="F11" s="31">
        <v>1.0</v>
      </c>
      <c r="G11" s="31">
        <v>1.0</v>
      </c>
      <c r="H11" s="32">
        <v>1.0</v>
      </c>
      <c r="I11" s="32">
        <v>1.0</v>
      </c>
      <c r="J11" s="32">
        <v>1.0</v>
      </c>
      <c r="K11" s="33">
        <v>1.0</v>
      </c>
      <c r="L11" s="33">
        <v>1.0</v>
      </c>
      <c r="M11" s="34">
        <v>1.0</v>
      </c>
      <c r="N11" s="35">
        <f t="shared" si="1"/>
        <v>1</v>
      </c>
      <c r="O11" s="14"/>
      <c r="P11" s="14">
        <v>1.0</v>
      </c>
      <c r="Q11" s="36">
        <f t="shared" si="2"/>
        <v>1</v>
      </c>
    </row>
    <row r="12" ht="15.75" customHeight="1">
      <c r="A12" s="37" t="s">
        <v>36</v>
      </c>
      <c r="B12" s="38" t="s">
        <v>37</v>
      </c>
      <c r="C12" s="30">
        <v>1.0</v>
      </c>
      <c r="D12" s="30">
        <v>1.0</v>
      </c>
      <c r="E12" s="30">
        <v>1.0</v>
      </c>
      <c r="F12" s="31">
        <v>1.0</v>
      </c>
      <c r="G12" s="31">
        <v>1.0</v>
      </c>
      <c r="H12" s="32">
        <v>1.0</v>
      </c>
      <c r="I12" s="32">
        <v>1.0</v>
      </c>
      <c r="J12" s="32">
        <v>1.0</v>
      </c>
      <c r="K12" s="33">
        <v>1.0</v>
      </c>
      <c r="L12" s="33">
        <v>1.0</v>
      </c>
      <c r="M12" s="34">
        <v>1.0</v>
      </c>
      <c r="N12" s="35">
        <f t="shared" si="1"/>
        <v>1</v>
      </c>
      <c r="O12" s="14"/>
      <c r="P12" s="14">
        <v>1.0</v>
      </c>
      <c r="Q12" s="36">
        <f t="shared" si="2"/>
        <v>1</v>
      </c>
    </row>
    <row r="13" ht="15.75" customHeight="1">
      <c r="A13" s="37" t="s">
        <v>38</v>
      </c>
      <c r="B13" s="38" t="s">
        <v>39</v>
      </c>
      <c r="C13" s="30">
        <v>1.0</v>
      </c>
      <c r="D13" s="30">
        <v>1.0</v>
      </c>
      <c r="E13" s="30">
        <v>1.0</v>
      </c>
      <c r="F13" s="31">
        <v>1.0</v>
      </c>
      <c r="G13" s="31">
        <v>1.0</v>
      </c>
      <c r="H13" s="32">
        <v>1.0</v>
      </c>
      <c r="I13" s="32">
        <v>1.0</v>
      </c>
      <c r="J13" s="32">
        <v>1.0</v>
      </c>
      <c r="K13" s="33">
        <v>1.0</v>
      </c>
      <c r="L13" s="33">
        <v>1.0</v>
      </c>
      <c r="M13" s="34">
        <v>1.0</v>
      </c>
      <c r="N13" s="35">
        <f t="shared" si="1"/>
        <v>1</v>
      </c>
      <c r="O13" s="14"/>
      <c r="P13" s="14">
        <v>1.0</v>
      </c>
      <c r="Q13" s="36">
        <f t="shared" si="2"/>
        <v>1</v>
      </c>
    </row>
    <row r="14" ht="15.75" customHeight="1">
      <c r="A14" s="37"/>
      <c r="B14" s="38" t="s">
        <v>40</v>
      </c>
      <c r="C14" s="30">
        <v>1.0</v>
      </c>
      <c r="D14" s="30">
        <v>1.0</v>
      </c>
      <c r="E14" s="30">
        <v>1.0</v>
      </c>
      <c r="F14" s="31">
        <v>1.0</v>
      </c>
      <c r="G14" s="31">
        <v>1.0</v>
      </c>
      <c r="H14" s="32">
        <v>1.0</v>
      </c>
      <c r="I14" s="32">
        <v>1.0</v>
      </c>
      <c r="J14" s="32">
        <v>1.0</v>
      </c>
      <c r="K14" s="33">
        <v>1.0</v>
      </c>
      <c r="L14" s="33">
        <v>1.0</v>
      </c>
      <c r="M14" s="34">
        <v>1.0</v>
      </c>
      <c r="N14" s="35">
        <f t="shared" si="1"/>
        <v>1</v>
      </c>
      <c r="O14" s="14"/>
      <c r="P14" s="14">
        <v>1.0</v>
      </c>
      <c r="Q14" s="36">
        <f t="shared" si="2"/>
        <v>1</v>
      </c>
    </row>
    <row r="15" ht="15.75" customHeight="1">
      <c r="A15" s="39" t="s">
        <v>41</v>
      </c>
      <c r="B15" s="39" t="s">
        <v>42</v>
      </c>
      <c r="C15" s="30">
        <v>1.0</v>
      </c>
      <c r="D15" s="30">
        <v>1.0</v>
      </c>
      <c r="E15" s="30">
        <v>1.0</v>
      </c>
      <c r="F15" s="31">
        <v>1.0</v>
      </c>
      <c r="G15" s="31">
        <v>1.0</v>
      </c>
      <c r="H15" s="32">
        <v>1.0</v>
      </c>
      <c r="I15" s="32">
        <v>1.0</v>
      </c>
      <c r="J15" s="32">
        <v>1.0</v>
      </c>
      <c r="K15" s="33">
        <v>1.0</v>
      </c>
      <c r="L15" s="33">
        <v>1.0</v>
      </c>
      <c r="M15" s="34">
        <v>1.0</v>
      </c>
      <c r="N15" s="35">
        <f t="shared" si="1"/>
        <v>1</v>
      </c>
      <c r="O15" s="14"/>
      <c r="P15" s="14">
        <v>1.0</v>
      </c>
      <c r="Q15" s="36">
        <f t="shared" si="2"/>
        <v>1</v>
      </c>
    </row>
    <row r="16" ht="15.75" customHeight="1">
      <c r="A16" s="39" t="s">
        <v>43</v>
      </c>
      <c r="B16" s="39" t="s">
        <v>44</v>
      </c>
      <c r="C16" s="30">
        <v>1.0</v>
      </c>
      <c r="D16" s="30">
        <v>1.0</v>
      </c>
      <c r="E16" s="30">
        <v>1.0</v>
      </c>
      <c r="F16" s="31">
        <v>1.0</v>
      </c>
      <c r="G16" s="31">
        <v>1.0</v>
      </c>
      <c r="H16" s="32">
        <v>1.0</v>
      </c>
      <c r="I16" s="32">
        <v>1.0</v>
      </c>
      <c r="J16" s="32">
        <v>1.0</v>
      </c>
      <c r="K16" s="33">
        <v>1.0</v>
      </c>
      <c r="L16" s="33">
        <v>1.0</v>
      </c>
      <c r="M16" s="34">
        <v>1.0</v>
      </c>
      <c r="N16" s="35">
        <f t="shared" si="1"/>
        <v>1</v>
      </c>
      <c r="O16" s="14"/>
      <c r="P16" s="14">
        <v>1.0</v>
      </c>
      <c r="Q16" s="36">
        <f t="shared" si="2"/>
        <v>1</v>
      </c>
    </row>
    <row r="17" ht="15.75" customHeight="1">
      <c r="A17" s="39" t="s">
        <v>45</v>
      </c>
      <c r="B17" s="39" t="s">
        <v>46</v>
      </c>
      <c r="C17" s="30">
        <v>1.0</v>
      </c>
      <c r="D17" s="30">
        <v>1.0</v>
      </c>
      <c r="E17" s="30">
        <v>1.0</v>
      </c>
      <c r="F17" s="31">
        <v>1.0</v>
      </c>
      <c r="G17" s="31">
        <v>1.0</v>
      </c>
      <c r="H17" s="32">
        <v>1.0</v>
      </c>
      <c r="I17" s="32">
        <v>1.0</v>
      </c>
      <c r="J17" s="32">
        <v>1.0</v>
      </c>
      <c r="K17" s="33">
        <v>1.0</v>
      </c>
      <c r="L17" s="33">
        <v>1.0</v>
      </c>
      <c r="M17" s="34">
        <v>1.0</v>
      </c>
      <c r="N17" s="35">
        <f t="shared" si="1"/>
        <v>1</v>
      </c>
      <c r="O17" s="14"/>
      <c r="P17" s="14">
        <v>1.0</v>
      </c>
      <c r="Q17" s="36">
        <f t="shared" si="2"/>
        <v>1</v>
      </c>
    </row>
    <row r="18" ht="15.75" customHeight="1">
      <c r="A18" s="39" t="s">
        <v>47</v>
      </c>
      <c r="B18" s="39" t="s">
        <v>48</v>
      </c>
      <c r="C18" s="30">
        <v>1.0</v>
      </c>
      <c r="D18" s="30">
        <v>1.0</v>
      </c>
      <c r="E18" s="30">
        <v>1.0</v>
      </c>
      <c r="F18" s="31">
        <v>1.0</v>
      </c>
      <c r="G18" s="31">
        <v>1.0</v>
      </c>
      <c r="H18" s="32">
        <v>1.0</v>
      </c>
      <c r="I18" s="32">
        <v>1.0</v>
      </c>
      <c r="J18" s="32">
        <v>1.0</v>
      </c>
      <c r="K18" s="33">
        <v>1.0</v>
      </c>
      <c r="L18" s="33">
        <v>1.0</v>
      </c>
      <c r="M18" s="34">
        <v>1.0</v>
      </c>
      <c r="N18" s="35">
        <f t="shared" si="1"/>
        <v>1</v>
      </c>
      <c r="O18" s="14"/>
      <c r="P18" s="14">
        <v>1.0</v>
      </c>
      <c r="Q18" s="36">
        <f t="shared" si="2"/>
        <v>1</v>
      </c>
    </row>
    <row r="19" ht="15.75" customHeight="1">
      <c r="A19" s="40" t="s">
        <v>49</v>
      </c>
      <c r="B19" s="41" t="s">
        <v>50</v>
      </c>
      <c r="C19" s="30">
        <v>1.0</v>
      </c>
      <c r="D19" s="30">
        <v>1.0</v>
      </c>
      <c r="E19" s="30">
        <v>1.0</v>
      </c>
      <c r="F19" s="31">
        <v>1.0</v>
      </c>
      <c r="G19" s="31">
        <v>1.0</v>
      </c>
      <c r="H19" s="32">
        <v>1.0</v>
      </c>
      <c r="I19" s="32">
        <v>1.0</v>
      </c>
      <c r="J19" s="32">
        <v>1.0</v>
      </c>
      <c r="K19" s="33">
        <v>1.0</v>
      </c>
      <c r="L19" s="33">
        <v>1.0</v>
      </c>
      <c r="M19" s="34">
        <v>1.0</v>
      </c>
      <c r="N19" s="35">
        <f t="shared" si="1"/>
        <v>1</v>
      </c>
      <c r="O19" s="14"/>
      <c r="P19" s="14">
        <v>1.0</v>
      </c>
      <c r="Q19" s="36">
        <f t="shared" si="2"/>
        <v>1</v>
      </c>
    </row>
    <row r="20" ht="15.75" customHeight="1">
      <c r="A20" s="42" t="s">
        <v>51</v>
      </c>
      <c r="B20" s="43" t="s">
        <v>52</v>
      </c>
      <c r="C20" s="30">
        <v>1.0</v>
      </c>
      <c r="D20" s="30">
        <v>1.0</v>
      </c>
      <c r="E20" s="30">
        <v>1.0</v>
      </c>
      <c r="F20" s="31">
        <v>1.0</v>
      </c>
      <c r="G20" s="31">
        <v>1.0</v>
      </c>
      <c r="H20" s="32">
        <v>1.0</v>
      </c>
      <c r="I20" s="32">
        <v>1.0</v>
      </c>
      <c r="J20" s="32">
        <v>1.0</v>
      </c>
      <c r="K20" s="33">
        <v>1.0</v>
      </c>
      <c r="L20" s="33">
        <v>1.0</v>
      </c>
      <c r="M20" s="34">
        <v>1.0</v>
      </c>
      <c r="N20" s="35">
        <f t="shared" si="1"/>
        <v>1</v>
      </c>
      <c r="O20" s="14"/>
      <c r="P20" s="14">
        <v>1.0</v>
      </c>
      <c r="Q20" s="36">
        <f t="shared" si="2"/>
        <v>1</v>
      </c>
    </row>
    <row r="21" ht="15.75" customHeight="1">
      <c r="A21" s="42" t="s">
        <v>53</v>
      </c>
      <c r="B21" s="43" t="s">
        <v>54</v>
      </c>
      <c r="C21" s="30">
        <v>1.0</v>
      </c>
      <c r="D21" s="30">
        <v>1.0</v>
      </c>
      <c r="E21" s="30">
        <v>1.0</v>
      </c>
      <c r="F21" s="31">
        <v>1.0</v>
      </c>
      <c r="G21" s="31">
        <v>1.0</v>
      </c>
      <c r="H21" s="32">
        <v>1.0</v>
      </c>
      <c r="I21" s="32">
        <v>1.0</v>
      </c>
      <c r="J21" s="32">
        <v>1.0</v>
      </c>
      <c r="K21" s="33">
        <v>1.0</v>
      </c>
      <c r="L21" s="33">
        <v>1.0</v>
      </c>
      <c r="M21" s="34">
        <v>1.0</v>
      </c>
      <c r="N21" s="35">
        <f t="shared" si="1"/>
        <v>1</v>
      </c>
      <c r="O21" s="14"/>
      <c r="P21" s="14">
        <v>1.0</v>
      </c>
      <c r="Q21" s="36">
        <f t="shared" si="2"/>
        <v>1</v>
      </c>
    </row>
    <row r="22" ht="15.75" customHeight="1">
      <c r="A22" s="42" t="s">
        <v>55</v>
      </c>
      <c r="B22" s="43" t="s">
        <v>56</v>
      </c>
      <c r="C22" s="30">
        <v>1.0</v>
      </c>
      <c r="D22" s="30">
        <v>1.0</v>
      </c>
      <c r="E22" s="30">
        <v>1.0</v>
      </c>
      <c r="F22" s="31">
        <v>1.0</v>
      </c>
      <c r="G22" s="31">
        <v>1.0</v>
      </c>
      <c r="H22" s="32">
        <v>1.0</v>
      </c>
      <c r="I22" s="32">
        <v>1.0</v>
      </c>
      <c r="J22" s="32">
        <v>1.0</v>
      </c>
      <c r="K22" s="33">
        <v>1.0</v>
      </c>
      <c r="L22" s="33">
        <v>1.0</v>
      </c>
      <c r="M22" s="34">
        <v>1.0</v>
      </c>
      <c r="N22" s="35">
        <f t="shared" si="1"/>
        <v>1</v>
      </c>
      <c r="O22" s="14"/>
      <c r="P22" s="14">
        <v>1.0</v>
      </c>
      <c r="Q22" s="36">
        <f t="shared" si="2"/>
        <v>1</v>
      </c>
    </row>
    <row r="23" ht="15.75" customHeight="1">
      <c r="A23" s="42" t="s">
        <v>57</v>
      </c>
      <c r="B23" s="43" t="s">
        <v>58</v>
      </c>
      <c r="C23" s="30">
        <v>1.0</v>
      </c>
      <c r="D23" s="30">
        <v>1.0</v>
      </c>
      <c r="E23" s="30">
        <v>1.0</v>
      </c>
      <c r="F23" s="31">
        <v>1.0</v>
      </c>
      <c r="G23" s="31">
        <v>1.0</v>
      </c>
      <c r="H23" s="32">
        <v>1.0</v>
      </c>
      <c r="I23" s="32">
        <v>1.0</v>
      </c>
      <c r="J23" s="32">
        <v>1.0</v>
      </c>
      <c r="K23" s="33">
        <v>1.0</v>
      </c>
      <c r="L23" s="33">
        <v>1.0</v>
      </c>
      <c r="M23" s="34">
        <v>1.0</v>
      </c>
      <c r="N23" s="35">
        <f t="shared" si="1"/>
        <v>1</v>
      </c>
      <c r="O23" s="14"/>
      <c r="P23" s="14">
        <v>1.0</v>
      </c>
      <c r="Q23" s="36">
        <f t="shared" si="2"/>
        <v>1</v>
      </c>
    </row>
    <row r="24" ht="15.75" customHeight="1">
      <c r="A24" s="42" t="s">
        <v>59</v>
      </c>
      <c r="B24" s="43" t="s">
        <v>60</v>
      </c>
      <c r="C24" s="30">
        <v>1.0</v>
      </c>
      <c r="D24" s="30">
        <v>1.0</v>
      </c>
      <c r="E24" s="30">
        <v>1.0</v>
      </c>
      <c r="F24" s="31">
        <v>1.0</v>
      </c>
      <c r="G24" s="31">
        <v>1.0</v>
      </c>
      <c r="H24" s="32">
        <v>1.0</v>
      </c>
      <c r="I24" s="32">
        <v>1.0</v>
      </c>
      <c r="J24" s="32">
        <v>1.0</v>
      </c>
      <c r="K24" s="33">
        <v>1.0</v>
      </c>
      <c r="L24" s="33">
        <v>1.0</v>
      </c>
      <c r="M24" s="34">
        <v>1.0</v>
      </c>
      <c r="N24" s="35">
        <f t="shared" si="1"/>
        <v>1</v>
      </c>
      <c r="O24" s="14"/>
      <c r="P24" s="14">
        <v>1.0</v>
      </c>
      <c r="Q24" s="36">
        <f t="shared" si="2"/>
        <v>1</v>
      </c>
    </row>
    <row r="25" ht="15.75" customHeight="1">
      <c r="A25" s="42" t="s">
        <v>61</v>
      </c>
      <c r="B25" s="43" t="s">
        <v>62</v>
      </c>
      <c r="C25" s="30">
        <v>1.0</v>
      </c>
      <c r="D25" s="30">
        <v>1.0</v>
      </c>
      <c r="E25" s="30">
        <v>1.0</v>
      </c>
      <c r="F25" s="31">
        <v>1.0</v>
      </c>
      <c r="G25" s="31">
        <v>1.0</v>
      </c>
      <c r="H25" s="32">
        <v>1.0</v>
      </c>
      <c r="I25" s="32">
        <v>1.0</v>
      </c>
      <c r="J25" s="32">
        <v>1.0</v>
      </c>
      <c r="K25" s="33">
        <v>1.0</v>
      </c>
      <c r="L25" s="33">
        <v>1.0</v>
      </c>
      <c r="M25" s="34">
        <v>1.0</v>
      </c>
      <c r="N25" s="35">
        <f t="shared" si="1"/>
        <v>1</v>
      </c>
      <c r="O25" s="14"/>
      <c r="P25" s="14">
        <v>1.0</v>
      </c>
      <c r="Q25" s="36">
        <f t="shared" si="2"/>
        <v>1</v>
      </c>
    </row>
    <row r="26" ht="15.75" customHeight="1">
      <c r="A26" s="42" t="s">
        <v>63</v>
      </c>
      <c r="B26" s="43" t="s">
        <v>64</v>
      </c>
      <c r="C26" s="30">
        <v>1.0</v>
      </c>
      <c r="D26" s="30">
        <v>1.0</v>
      </c>
      <c r="E26" s="30">
        <v>1.0</v>
      </c>
      <c r="F26" s="31">
        <v>1.0</v>
      </c>
      <c r="G26" s="31">
        <v>1.0</v>
      </c>
      <c r="H26" s="32">
        <v>1.0</v>
      </c>
      <c r="I26" s="32">
        <v>1.0</v>
      </c>
      <c r="J26" s="32">
        <v>1.0</v>
      </c>
      <c r="K26" s="33">
        <v>1.0</v>
      </c>
      <c r="L26" s="33">
        <v>1.0</v>
      </c>
      <c r="M26" s="34">
        <v>1.0</v>
      </c>
      <c r="N26" s="35">
        <f t="shared" si="1"/>
        <v>1</v>
      </c>
      <c r="O26" s="14"/>
      <c r="P26" s="14">
        <v>1.0</v>
      </c>
      <c r="Q26" s="36">
        <f t="shared" si="2"/>
        <v>1</v>
      </c>
    </row>
    <row r="27" ht="15.75" customHeight="1">
      <c r="A27" s="42" t="s">
        <v>65</v>
      </c>
      <c r="B27" s="43" t="s">
        <v>66</v>
      </c>
      <c r="C27" s="30">
        <v>1.0</v>
      </c>
      <c r="D27" s="30">
        <v>1.0</v>
      </c>
      <c r="E27" s="30">
        <v>1.0</v>
      </c>
      <c r="F27" s="31">
        <v>1.0</v>
      </c>
      <c r="G27" s="31">
        <v>1.0</v>
      </c>
      <c r="H27" s="32">
        <v>1.0</v>
      </c>
      <c r="I27" s="32">
        <v>1.0</v>
      </c>
      <c r="J27" s="32">
        <v>1.0</v>
      </c>
      <c r="K27" s="33">
        <v>1.0</v>
      </c>
      <c r="L27" s="33">
        <v>1.0</v>
      </c>
      <c r="M27" s="34">
        <v>1.0</v>
      </c>
      <c r="N27" s="35">
        <f t="shared" si="1"/>
        <v>1</v>
      </c>
      <c r="O27" s="14"/>
      <c r="P27" s="14">
        <v>1.0</v>
      </c>
      <c r="Q27" s="36">
        <f t="shared" si="2"/>
        <v>1</v>
      </c>
    </row>
    <row r="28" ht="15.75" customHeight="1">
      <c r="A28" s="42" t="s">
        <v>47</v>
      </c>
      <c r="B28" s="43" t="s">
        <v>67</v>
      </c>
      <c r="C28" s="30">
        <v>1.0</v>
      </c>
      <c r="D28" s="30">
        <v>1.0</v>
      </c>
      <c r="E28" s="30">
        <v>1.0</v>
      </c>
      <c r="F28" s="31">
        <v>1.0</v>
      </c>
      <c r="G28" s="31">
        <v>1.0</v>
      </c>
      <c r="H28" s="32">
        <v>1.0</v>
      </c>
      <c r="I28" s="32">
        <v>1.0</v>
      </c>
      <c r="J28" s="32">
        <v>1.0</v>
      </c>
      <c r="K28" s="33">
        <v>1.0</v>
      </c>
      <c r="L28" s="33">
        <v>1.0</v>
      </c>
      <c r="M28" s="34">
        <v>1.0</v>
      </c>
      <c r="N28" s="35">
        <f t="shared" si="1"/>
        <v>1</v>
      </c>
      <c r="O28" s="14"/>
      <c r="P28" s="14">
        <v>1.0</v>
      </c>
      <c r="Q28" s="36">
        <f t="shared" si="2"/>
        <v>1</v>
      </c>
    </row>
    <row r="29" ht="15.75" customHeight="1">
      <c r="A29" s="42" t="s">
        <v>68</v>
      </c>
      <c r="B29" s="43" t="s">
        <v>69</v>
      </c>
      <c r="C29" s="30">
        <v>1.0</v>
      </c>
      <c r="D29" s="30">
        <v>1.0</v>
      </c>
      <c r="E29" s="30">
        <v>1.0</v>
      </c>
      <c r="F29" s="31">
        <v>1.0</v>
      </c>
      <c r="G29" s="31">
        <v>1.0</v>
      </c>
      <c r="H29" s="32">
        <v>1.0</v>
      </c>
      <c r="I29" s="32">
        <v>1.0</v>
      </c>
      <c r="J29" s="32">
        <v>1.0</v>
      </c>
      <c r="K29" s="33">
        <v>1.0</v>
      </c>
      <c r="L29" s="33">
        <v>1.0</v>
      </c>
      <c r="M29" s="34">
        <v>1.0</v>
      </c>
      <c r="N29" s="35">
        <f t="shared" si="1"/>
        <v>1</v>
      </c>
      <c r="O29" s="14"/>
      <c r="P29" s="14">
        <v>1.0</v>
      </c>
      <c r="Q29" s="36">
        <f t="shared" si="2"/>
        <v>1</v>
      </c>
    </row>
    <row r="30" ht="15.75" customHeight="1">
      <c r="A30" s="42" t="s">
        <v>70</v>
      </c>
      <c r="B30" s="43" t="s">
        <v>71</v>
      </c>
      <c r="C30" s="30">
        <v>1.0</v>
      </c>
      <c r="D30" s="30">
        <v>1.0</v>
      </c>
      <c r="E30" s="30">
        <v>1.0</v>
      </c>
      <c r="F30" s="31">
        <v>1.0</v>
      </c>
      <c r="G30" s="31">
        <v>1.0</v>
      </c>
      <c r="H30" s="32">
        <v>1.0</v>
      </c>
      <c r="I30" s="32">
        <v>1.0</v>
      </c>
      <c r="J30" s="32">
        <v>1.0</v>
      </c>
      <c r="K30" s="33">
        <v>1.0</v>
      </c>
      <c r="L30" s="33">
        <v>1.0</v>
      </c>
      <c r="M30" s="34">
        <v>1.0</v>
      </c>
      <c r="N30" s="35">
        <f t="shared" si="1"/>
        <v>1</v>
      </c>
      <c r="O30" s="14"/>
      <c r="P30" s="14">
        <v>1.0</v>
      </c>
      <c r="Q30" s="36">
        <f t="shared" si="2"/>
        <v>1</v>
      </c>
    </row>
    <row r="31" ht="15.75" customHeight="1">
      <c r="A31" s="42" t="s">
        <v>72</v>
      </c>
      <c r="B31" s="43" t="s">
        <v>73</v>
      </c>
      <c r="C31" s="30">
        <v>1.0</v>
      </c>
      <c r="D31" s="30">
        <v>1.0</v>
      </c>
      <c r="E31" s="30">
        <v>1.0</v>
      </c>
      <c r="F31" s="31">
        <v>1.0</v>
      </c>
      <c r="G31" s="31">
        <v>1.0</v>
      </c>
      <c r="H31" s="32">
        <v>1.0</v>
      </c>
      <c r="I31" s="32">
        <v>1.0</v>
      </c>
      <c r="J31" s="32">
        <v>1.0</v>
      </c>
      <c r="K31" s="33">
        <v>1.0</v>
      </c>
      <c r="L31" s="33">
        <v>1.0</v>
      </c>
      <c r="M31" s="34">
        <v>1.0</v>
      </c>
      <c r="N31" s="35">
        <f t="shared" si="1"/>
        <v>1</v>
      </c>
      <c r="O31" s="14"/>
      <c r="P31" s="14">
        <v>1.0</v>
      </c>
      <c r="Q31" s="36">
        <f t="shared" si="2"/>
        <v>1</v>
      </c>
    </row>
    <row r="32" ht="15.75" customHeight="1">
      <c r="A32" s="42" t="s">
        <v>74</v>
      </c>
      <c r="B32" s="43" t="s">
        <v>75</v>
      </c>
      <c r="C32" s="30">
        <v>1.0</v>
      </c>
      <c r="D32" s="30">
        <v>1.0</v>
      </c>
      <c r="E32" s="30">
        <v>1.0</v>
      </c>
      <c r="F32" s="31">
        <v>1.0</v>
      </c>
      <c r="G32" s="31">
        <v>1.0</v>
      </c>
      <c r="H32" s="32">
        <v>1.0</v>
      </c>
      <c r="I32" s="32">
        <v>1.0</v>
      </c>
      <c r="J32" s="32">
        <v>1.0</v>
      </c>
      <c r="K32" s="33">
        <v>1.0</v>
      </c>
      <c r="L32" s="33">
        <v>1.0</v>
      </c>
      <c r="M32" s="34">
        <v>1.0</v>
      </c>
      <c r="N32" s="35">
        <f t="shared" si="1"/>
        <v>1</v>
      </c>
      <c r="O32" s="14"/>
      <c r="P32" s="14">
        <v>1.0</v>
      </c>
      <c r="Q32" s="36">
        <f t="shared" si="2"/>
        <v>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F3:G3"/>
    <mergeCell ref="H3:J3"/>
    <mergeCell ref="K3:L3"/>
    <mergeCell ref="A5:B5"/>
  </mergeCells>
  <printOptions gridLines="1" horizontalCentered="1"/>
  <pageMargins bottom="0.75" footer="0.0" header="0.0" left="0.7" right="0.7" top="0.75"/>
  <pageSetup fitToHeight="0" paperSize="9" cellComments="atEnd" orientation="landscape" pageOrder="overThenDown"/>
  <drawing r:id="rId2"/>
  <legacyDrawing r:id="rId3"/>
</worksheet>
</file>